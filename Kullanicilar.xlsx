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AMURAT\Desktop\RaporBotu\RaporBotu\"/>
    </mc:Choice>
  </mc:AlternateContent>
  <xr:revisionPtr revIDLastSave="0" documentId="13_ncr:1_{CF2D4700-C43D-4149-80BE-55FCA611028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3" i="1"/>
  <c r="A2" i="1"/>
</calcChain>
</file>

<file path=xl/sharedStrings.xml><?xml version="1.0" encoding="utf-8"?>
<sst xmlns="http://schemas.openxmlformats.org/spreadsheetml/2006/main" count="150" uniqueCount="81">
  <si>
    <t>S/N</t>
  </si>
  <si>
    <t>Kullanici Adi Soyadi</t>
  </si>
  <si>
    <t>Username</t>
  </si>
  <si>
    <t>Telegram ID</t>
  </si>
  <si>
    <t>Telefon Numarası</t>
  </si>
  <si>
    <t>Proje / Şantiye</t>
  </si>
  <si>
    <t>Pozisyon Kodu</t>
  </si>
  <si>
    <t>Aktif / Pasif</t>
  </si>
  <si>
    <t>Özel Rapor</t>
  </si>
  <si>
    <t>Eren Boz</t>
  </si>
  <si>
    <t>Erdem Erustun</t>
  </si>
  <si>
    <t>Murat Avci</t>
  </si>
  <si>
    <t>Atamurat Kamalov</t>
  </si>
  <si>
    <t>Nuryagdy Allayev</t>
  </si>
  <si>
    <t>Erdoğan Karamısır</t>
  </si>
  <si>
    <t>Orhan Ceylan</t>
  </si>
  <si>
    <t>Adnan Keleş</t>
  </si>
  <si>
    <t>Yemlihan Yilmaz</t>
  </si>
  <si>
    <t>Yusuf Mutlu</t>
  </si>
  <si>
    <t>Umut Çamlı</t>
  </si>
  <si>
    <t>Onur Çetin</t>
  </si>
  <si>
    <t>Emre Çetin</t>
  </si>
  <si>
    <t>Temur Saburov</t>
  </si>
  <si>
    <t>Ahmet Akcalar</t>
  </si>
  <si>
    <t>Yusuf Özçelik</t>
  </si>
  <si>
    <t>Ahmet Biçer</t>
  </si>
  <si>
    <t>Ali Özen</t>
  </si>
  <si>
    <t>@eerustun</t>
  </si>
  <si>
    <t>@mavciru</t>
  </si>
  <si>
    <t>@Atamurat_Kamalov</t>
  </si>
  <si>
    <t>@Ymlhn</t>
  </si>
  <si>
    <t>@uzyusufmutlu</t>
  </si>
  <si>
    <t>@ON5428</t>
  </si>
  <si>
    <t>@emrrecetin</t>
  </si>
  <si>
    <t>@dnzhergl</t>
  </si>
  <si>
    <t>@YsF1434</t>
  </si>
  <si>
    <t>+998 93 388 94 24</t>
  </si>
  <si>
    <t>+998 95 450 13 31</t>
  </si>
  <si>
    <t>+998 99 047 14 80</t>
  </si>
  <si>
    <t>+998 91 415 24 00</t>
  </si>
  <si>
    <t>+998 95 450 56 50</t>
  </si>
  <si>
    <t>+998 93 528 60 00</t>
  </si>
  <si>
    <t>+998 95 450 36 46</t>
  </si>
  <si>
    <t>+998 99 575 57 53</t>
  </si>
  <si>
    <t>+998 77 481 87 83</t>
  </si>
  <si>
    <t>+998 70 115 47 40</t>
  </si>
  <si>
    <t>+998 95 450 97 01</t>
  </si>
  <si>
    <t>+998 88 947 95 96</t>
  </si>
  <si>
    <t>+998 77 443 53 51</t>
  </si>
  <si>
    <t>+998 77 481 87 84</t>
  </si>
  <si>
    <t>+998 95 450 57 50</t>
  </si>
  <si>
    <t>+998 99 207 74 63</t>
  </si>
  <si>
    <t>+998 95 115 71 70</t>
  </si>
  <si>
    <t>Tümü</t>
  </si>
  <si>
    <t>Belli değil</t>
  </si>
  <si>
    <t>OHP / KÖKSARAY</t>
  </si>
  <si>
    <t>YHP / TYM / MMP / RMC</t>
  </si>
  <si>
    <t>SKP (DAHO) / DMC / KÖKSARAY</t>
  </si>
  <si>
    <t>SKP (DAHO) / DMC</t>
  </si>
  <si>
    <t>Piramit ve TSP</t>
  </si>
  <si>
    <t>Piramit</t>
  </si>
  <si>
    <t>BWC</t>
  </si>
  <si>
    <t>Genel Müdür Yardımcısı</t>
  </si>
  <si>
    <t>Danışmanlık</t>
  </si>
  <si>
    <t>Elektrik Teknik Ofis Şefi</t>
  </si>
  <si>
    <t>Elektrik Teknik Ofis Şefi Yardımcısı</t>
  </si>
  <si>
    <t>Elektrik Teknikeri</t>
  </si>
  <si>
    <t>Elektrik Formeni</t>
  </si>
  <si>
    <t>Elektrik Şefi</t>
  </si>
  <si>
    <t>Elektrik Formen Yardımcısı</t>
  </si>
  <si>
    <t>Elektrik Dizayn Ofis Şefi</t>
  </si>
  <si>
    <t>Elektrik Teknik Ressam</t>
  </si>
  <si>
    <t>H</t>
  </si>
  <si>
    <t>E</t>
  </si>
  <si>
    <t>Deniz Hergül</t>
  </si>
  <si>
    <t>SÜPER ADMIN</t>
  </si>
  <si>
    <t>ADMIN</t>
  </si>
  <si>
    <t>KULLANICI</t>
  </si>
  <si>
    <t>İZLEYİCİ</t>
  </si>
  <si>
    <t>FAP / Lot 13 / Lot 71</t>
  </si>
  <si>
    <t>Botdaki Statusu / 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</si>
</sst>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DE0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4" fillId="11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85" zoomScaleNormal="85" workbookViewId="0">
      <selection activeCell="J28" sqref="J28"/>
    </sheetView>
  </sheetViews>
  <sheetFormatPr defaultRowHeight="14.5" x14ac:dyDescent="0.35"/>
  <cols>
    <col min="1" max="1" width="9.81640625" bestFit="1" customWidth="1"/>
    <col min="2" max="2" width="27.08984375" style="35" bestFit="1" customWidth="1"/>
    <col min="3" max="3" width="20" style="35" bestFit="1" customWidth="1"/>
    <col min="4" max="4" width="18.81640625" style="39" bestFit="1" customWidth="1"/>
    <col min="5" max="5" width="25.1796875" style="35" bestFit="1" customWidth="1"/>
    <col min="6" max="6" width="22.36328125" style="36" bestFit="1" customWidth="1"/>
    <col min="7" max="7" width="29.7265625" style="35" bestFit="1" customWidth="1"/>
    <col min="8" max="8" width="18.54296875" style="35" bestFit="1" customWidth="1"/>
    <col min="9" max="9" width="17.7265625" style="35" bestFit="1" customWidth="1"/>
    <col min="10" max="10" width="29.08984375" style="35" bestFit="1" customWidth="1"/>
  </cols>
  <sheetData>
    <row r="1" spans="1:10" ht="18.5" x14ac:dyDescent="0.35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80</v>
      </c>
    </row>
    <row r="2" spans="1:10" ht="24.5" customHeight="1" x14ac:dyDescent="0.35">
      <c r="A2" s="3">
        <f t="shared" ref="A2:A20" si="0">ROW()-ROW($A$1)</f>
        <v>1</v>
      </c>
      <c r="B2" s="3" t="s">
        <v>9</v>
      </c>
      <c r="C2" s="4"/>
      <c r="D2" s="40">
        <v>709746899</v>
      </c>
      <c r="E2" s="5" t="s">
        <v>36</v>
      </c>
      <c r="F2" s="6" t="s">
        <v>53</v>
      </c>
      <c r="G2" s="5" t="s">
        <v>62</v>
      </c>
      <c r="H2" s="5" t="s">
        <v>73</v>
      </c>
      <c r="I2" s="5" t="s">
        <v>73</v>
      </c>
      <c r="J2" s="5" t="s">
        <v>76</v>
      </c>
    </row>
    <row r="3" spans="1:10" ht="24.5" customHeight="1" x14ac:dyDescent="0.35">
      <c r="A3" s="3">
        <f t="shared" si="0"/>
        <v>2</v>
      </c>
      <c r="B3" s="3" t="s">
        <v>10</v>
      </c>
      <c r="C3" s="4" t="s">
        <v>27</v>
      </c>
      <c r="D3" s="38"/>
      <c r="E3" s="5"/>
      <c r="F3" s="6" t="s">
        <v>53</v>
      </c>
      <c r="G3" s="5" t="s">
        <v>63</v>
      </c>
      <c r="H3" s="5" t="s">
        <v>72</v>
      </c>
      <c r="I3" s="5" t="s">
        <v>72</v>
      </c>
      <c r="J3" s="5" t="s">
        <v>78</v>
      </c>
    </row>
    <row r="4" spans="1:10" ht="24.5" customHeight="1" x14ac:dyDescent="0.35">
      <c r="A4" s="3">
        <f>ROW()-ROW($A$1)</f>
        <v>3</v>
      </c>
      <c r="B4" s="3" t="s">
        <v>11</v>
      </c>
      <c r="C4" s="4" t="s">
        <v>28</v>
      </c>
      <c r="D4" s="38"/>
      <c r="E4" s="5" t="s">
        <v>37</v>
      </c>
      <c r="F4" s="6" t="s">
        <v>53</v>
      </c>
      <c r="G4" s="5" t="s">
        <v>64</v>
      </c>
      <c r="H4" s="5" t="s">
        <v>72</v>
      </c>
      <c r="I4" s="5" t="s">
        <v>73</v>
      </c>
      <c r="J4" s="5" t="s">
        <v>76</v>
      </c>
    </row>
    <row r="5" spans="1:10" ht="24.5" customHeight="1" x14ac:dyDescent="0.35">
      <c r="A5" s="3">
        <f t="shared" si="0"/>
        <v>4</v>
      </c>
      <c r="B5" s="3" t="s">
        <v>12</v>
      </c>
      <c r="C5" s="4" t="s">
        <v>29</v>
      </c>
      <c r="D5" s="40">
        <v>1000157326</v>
      </c>
      <c r="E5" s="5" t="s">
        <v>38</v>
      </c>
      <c r="F5" s="6" t="s">
        <v>53</v>
      </c>
      <c r="G5" s="5" t="s">
        <v>65</v>
      </c>
      <c r="H5" s="5" t="s">
        <v>73</v>
      </c>
      <c r="I5" s="5" t="s">
        <v>73</v>
      </c>
      <c r="J5" s="5" t="s">
        <v>75</v>
      </c>
    </row>
    <row r="6" spans="1:10" ht="24.5" customHeight="1" x14ac:dyDescent="0.35">
      <c r="A6" s="7">
        <f t="shared" si="0"/>
        <v>5</v>
      </c>
      <c r="B6" s="7" t="s">
        <v>13</v>
      </c>
      <c r="C6" s="8"/>
      <c r="D6" s="41">
        <v>875283061</v>
      </c>
      <c r="E6" s="9" t="s">
        <v>39</v>
      </c>
      <c r="F6" s="10" t="s">
        <v>54</v>
      </c>
      <c r="G6" s="9" t="s">
        <v>66</v>
      </c>
      <c r="H6" s="9" t="s">
        <v>72</v>
      </c>
      <c r="I6" s="9" t="s">
        <v>72</v>
      </c>
      <c r="J6" s="9" t="s">
        <v>78</v>
      </c>
    </row>
    <row r="7" spans="1:10" ht="24.5" customHeight="1" x14ac:dyDescent="0.35">
      <c r="A7" s="11">
        <f t="shared" si="0"/>
        <v>6</v>
      </c>
      <c r="B7" s="11" t="s">
        <v>14</v>
      </c>
      <c r="C7" s="12"/>
      <c r="D7" s="42">
        <v>847168715</v>
      </c>
      <c r="E7" s="13" t="s">
        <v>40</v>
      </c>
      <c r="F7" s="14" t="s">
        <v>55</v>
      </c>
      <c r="G7" s="13" t="s">
        <v>67</v>
      </c>
      <c r="H7" s="13" t="s">
        <v>73</v>
      </c>
      <c r="I7" s="13" t="s">
        <v>72</v>
      </c>
      <c r="J7" s="13" t="s">
        <v>77</v>
      </c>
    </row>
    <row r="8" spans="1:10" ht="24.5" customHeight="1" x14ac:dyDescent="0.35">
      <c r="A8" s="15">
        <f t="shared" si="0"/>
        <v>7</v>
      </c>
      <c r="B8" s="15" t="s">
        <v>15</v>
      </c>
      <c r="C8" s="16"/>
      <c r="D8" s="43">
        <v>7256383820</v>
      </c>
      <c r="E8" s="17" t="s">
        <v>41</v>
      </c>
      <c r="F8" s="18" t="s">
        <v>56</v>
      </c>
      <c r="G8" s="17" t="s">
        <v>67</v>
      </c>
      <c r="H8" s="17" t="s">
        <v>73</v>
      </c>
      <c r="I8" s="17" t="s">
        <v>72</v>
      </c>
      <c r="J8" s="17" t="s">
        <v>77</v>
      </c>
    </row>
    <row r="9" spans="1:10" ht="24.5" customHeight="1" x14ac:dyDescent="0.35">
      <c r="A9" s="19">
        <f t="shared" si="0"/>
        <v>8</v>
      </c>
      <c r="B9" s="19" t="s">
        <v>16</v>
      </c>
      <c r="C9" s="20"/>
      <c r="D9" s="44">
        <v>764458420</v>
      </c>
      <c r="E9" s="21" t="s">
        <v>42</v>
      </c>
      <c r="F9" s="22" t="s">
        <v>79</v>
      </c>
      <c r="G9" s="21" t="s">
        <v>67</v>
      </c>
      <c r="H9" s="21" t="s">
        <v>73</v>
      </c>
      <c r="I9" s="21" t="s">
        <v>72</v>
      </c>
      <c r="J9" s="21" t="s">
        <v>77</v>
      </c>
    </row>
    <row r="10" spans="1:10" ht="29" x14ac:dyDescent="0.35">
      <c r="A10" s="23">
        <f t="shared" si="0"/>
        <v>9</v>
      </c>
      <c r="B10" s="23" t="s">
        <v>17</v>
      </c>
      <c r="C10" s="24" t="s">
        <v>30</v>
      </c>
      <c r="D10" s="45">
        <v>798781897</v>
      </c>
      <c r="E10" s="25" t="s">
        <v>43</v>
      </c>
      <c r="F10" s="26" t="s">
        <v>57</v>
      </c>
      <c r="G10" s="25" t="s">
        <v>68</v>
      </c>
      <c r="H10" s="25" t="s">
        <v>73</v>
      </c>
      <c r="I10" s="25" t="s">
        <v>72</v>
      </c>
      <c r="J10" s="25" t="s">
        <v>78</v>
      </c>
    </row>
    <row r="11" spans="1:10" ht="24.5" customHeight="1" x14ac:dyDescent="0.35">
      <c r="A11" s="23">
        <f t="shared" si="0"/>
        <v>10</v>
      </c>
      <c r="B11" s="23" t="s">
        <v>18</v>
      </c>
      <c r="C11" s="24" t="s">
        <v>31</v>
      </c>
      <c r="D11" s="45">
        <v>7792841543</v>
      </c>
      <c r="E11" s="25" t="s">
        <v>44</v>
      </c>
      <c r="F11" s="26" t="s">
        <v>58</v>
      </c>
      <c r="G11" s="25" t="s">
        <v>68</v>
      </c>
      <c r="H11" s="25" t="s">
        <v>73</v>
      </c>
      <c r="I11" s="25" t="s">
        <v>72</v>
      </c>
      <c r="J11" s="25" t="s">
        <v>77</v>
      </c>
    </row>
    <row r="12" spans="1:10" ht="24.5" customHeight="1" x14ac:dyDescent="0.35">
      <c r="A12" s="27">
        <f t="shared" si="0"/>
        <v>11</v>
      </c>
      <c r="B12" s="27" t="s">
        <v>19</v>
      </c>
      <c r="C12" s="28"/>
      <c r="D12" s="46">
        <v>7833350491</v>
      </c>
      <c r="E12" s="29" t="s">
        <v>45</v>
      </c>
      <c r="F12" s="30" t="s">
        <v>59</v>
      </c>
      <c r="G12" s="29" t="s">
        <v>68</v>
      </c>
      <c r="H12" s="29" t="s">
        <v>73</v>
      </c>
      <c r="I12" s="29" t="s">
        <v>72</v>
      </c>
      <c r="J12" s="29" t="s">
        <v>77</v>
      </c>
    </row>
    <row r="13" spans="1:10" ht="24.5" customHeight="1" x14ac:dyDescent="0.35">
      <c r="A13" s="27">
        <f t="shared" si="0"/>
        <v>12</v>
      </c>
      <c r="B13" s="27" t="s">
        <v>20</v>
      </c>
      <c r="C13" s="28" t="s">
        <v>32</v>
      </c>
      <c r="D13" s="46">
        <v>1915863915</v>
      </c>
      <c r="E13" s="29" t="s">
        <v>46</v>
      </c>
      <c r="F13" s="30" t="s">
        <v>60</v>
      </c>
      <c r="G13" s="29" t="s">
        <v>67</v>
      </c>
      <c r="H13" s="29" t="s">
        <v>73</v>
      </c>
      <c r="I13" s="29" t="s">
        <v>72</v>
      </c>
      <c r="J13" s="29" t="s">
        <v>77</v>
      </c>
    </row>
    <row r="14" spans="1:10" ht="24.5" customHeight="1" x14ac:dyDescent="0.35">
      <c r="A14" s="27">
        <f t="shared" si="0"/>
        <v>13</v>
      </c>
      <c r="B14" s="27" t="s">
        <v>21</v>
      </c>
      <c r="C14" s="28" t="s">
        <v>33</v>
      </c>
      <c r="D14" s="46">
        <v>7424381515</v>
      </c>
      <c r="E14" s="29"/>
      <c r="F14" s="30" t="s">
        <v>60</v>
      </c>
      <c r="G14" s="29" t="s">
        <v>69</v>
      </c>
      <c r="H14" s="29" t="s">
        <v>73</v>
      </c>
      <c r="I14" s="29" t="s">
        <v>72</v>
      </c>
      <c r="J14" s="29" t="s">
        <v>77</v>
      </c>
    </row>
    <row r="15" spans="1:10" ht="24.5" customHeight="1" x14ac:dyDescent="0.35">
      <c r="A15" s="31">
        <f t="shared" si="0"/>
        <v>14</v>
      </c>
      <c r="B15" s="31" t="s">
        <v>22</v>
      </c>
      <c r="C15" s="32"/>
      <c r="D15" s="47">
        <v>8417715766</v>
      </c>
      <c r="E15" s="33" t="s">
        <v>47</v>
      </c>
      <c r="F15" s="34" t="s">
        <v>61</v>
      </c>
      <c r="G15" s="33" t="s">
        <v>66</v>
      </c>
      <c r="H15" s="33" t="s">
        <v>73</v>
      </c>
      <c r="I15" s="33" t="s">
        <v>72</v>
      </c>
      <c r="J15" s="33" t="s">
        <v>77</v>
      </c>
    </row>
    <row r="16" spans="1:10" ht="24.5" customHeight="1" x14ac:dyDescent="0.35">
      <c r="A16" s="31">
        <f t="shared" si="0"/>
        <v>15</v>
      </c>
      <c r="B16" s="31" t="s">
        <v>23</v>
      </c>
      <c r="C16" s="32"/>
      <c r="D16" s="47">
        <v>7999884541</v>
      </c>
      <c r="E16" s="33" t="s">
        <v>48</v>
      </c>
      <c r="F16" s="34" t="s">
        <v>61</v>
      </c>
      <c r="G16" s="33" t="s">
        <v>68</v>
      </c>
      <c r="H16" s="33" t="s">
        <v>73</v>
      </c>
      <c r="I16" s="33" t="s">
        <v>72</v>
      </c>
      <c r="J16" s="33" t="s">
        <v>78</v>
      </c>
    </row>
    <row r="17" spans="1:10" ht="24.5" customHeight="1" x14ac:dyDescent="0.35">
      <c r="A17" s="31">
        <f t="shared" si="0"/>
        <v>16</v>
      </c>
      <c r="B17" s="31" t="s">
        <v>74</v>
      </c>
      <c r="C17" s="32" t="s">
        <v>34</v>
      </c>
      <c r="D17" s="47">
        <v>5749624429</v>
      </c>
      <c r="E17" s="33" t="s">
        <v>49</v>
      </c>
      <c r="F17" s="34" t="s">
        <v>61</v>
      </c>
      <c r="G17" s="33" t="s">
        <v>70</v>
      </c>
      <c r="H17" s="33" t="s">
        <v>73</v>
      </c>
      <c r="I17" s="33" t="s">
        <v>72</v>
      </c>
      <c r="J17" s="33" t="s">
        <v>78</v>
      </c>
    </row>
    <row r="18" spans="1:10" ht="24.5" customHeight="1" x14ac:dyDescent="0.35">
      <c r="A18" s="31">
        <f t="shared" si="0"/>
        <v>17</v>
      </c>
      <c r="B18" s="31" t="s">
        <v>24</v>
      </c>
      <c r="C18" s="32" t="s">
        <v>35</v>
      </c>
      <c r="D18" s="47">
        <v>7303469876</v>
      </c>
      <c r="E18" s="33" t="s">
        <v>50</v>
      </c>
      <c r="F18" s="34" t="s">
        <v>61</v>
      </c>
      <c r="G18" s="33" t="s">
        <v>71</v>
      </c>
      <c r="H18" s="33" t="s">
        <v>73</v>
      </c>
      <c r="I18" s="33" t="s">
        <v>72</v>
      </c>
      <c r="J18" s="33" t="s">
        <v>78</v>
      </c>
    </row>
    <row r="19" spans="1:10" ht="24.5" customHeight="1" x14ac:dyDescent="0.35">
      <c r="A19" s="31">
        <f t="shared" si="0"/>
        <v>18</v>
      </c>
      <c r="B19" s="31" t="s">
        <v>25</v>
      </c>
      <c r="C19" s="32"/>
      <c r="D19" s="47">
        <v>6011579317</v>
      </c>
      <c r="E19" s="33" t="s">
        <v>51</v>
      </c>
      <c r="F19" s="34" t="s">
        <v>61</v>
      </c>
      <c r="G19" s="33" t="s">
        <v>67</v>
      </c>
      <c r="H19" s="33" t="s">
        <v>72</v>
      </c>
      <c r="I19" s="33" t="s">
        <v>72</v>
      </c>
      <c r="J19" s="33" t="s">
        <v>78</v>
      </c>
    </row>
    <row r="20" spans="1:10" ht="24.5" customHeight="1" x14ac:dyDescent="0.35">
      <c r="A20" s="31">
        <f t="shared" si="0"/>
        <v>19</v>
      </c>
      <c r="B20" s="31" t="s">
        <v>26</v>
      </c>
      <c r="C20" s="32"/>
      <c r="D20" s="38"/>
      <c r="E20" s="33" t="s">
        <v>52</v>
      </c>
      <c r="F20" s="34" t="s">
        <v>61</v>
      </c>
      <c r="G20" s="33" t="s">
        <v>67</v>
      </c>
      <c r="H20" s="33" t="s">
        <v>72</v>
      </c>
      <c r="I20" s="33" t="s">
        <v>72</v>
      </c>
      <c r="J20" s="33" t="s">
        <v>78</v>
      </c>
    </row>
  </sheetData>
  <autoFilter ref="A1:J20" xr:uid="{00000000-0001-0000-0000-000000000000}"/>
  <conditionalFormatting sqref="B7:C7 E7">
    <cfRule type="duplicateValues" dxfId="7" priority="7"/>
  </conditionalFormatting>
  <conditionalFormatting sqref="B10:C10 E10">
    <cfRule type="duplicateValues" dxfId="6" priority="6"/>
  </conditionalFormatting>
  <conditionalFormatting sqref="B17:C17 E17">
    <cfRule type="duplicateValues" dxfId="5" priority="5"/>
  </conditionalFormatting>
  <conditionalFormatting sqref="D6:D7">
    <cfRule type="duplicateValues" dxfId="4" priority="4"/>
  </conditionalFormatting>
  <conditionalFormatting sqref="D17">
    <cfRule type="duplicateValues" dxfId="3" priority="3"/>
  </conditionalFormatting>
  <conditionalFormatting sqref="D10">
    <cfRule type="duplicateValues" dxfId="2" priority="2"/>
  </conditionalFormatting>
  <conditionalFormatting sqref="B18:E19 B11:E16 B8:E9 B1:E5 B6:C6 E6 B21:E1048576 B20:C20 E20">
    <cfRule type="duplicateValues" dxfId="1" priority="8"/>
  </conditionalFormatting>
  <conditionalFormatting sqref="D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Atamurat Kamalov</cp:lastModifiedBy>
  <dcterms:created xsi:type="dcterms:W3CDTF">2025-11-06T19:39:15Z</dcterms:created>
  <dcterms:modified xsi:type="dcterms:W3CDTF">2025-11-20T05:56:50Z</dcterms:modified>
</cp:coreProperties>
</file>